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  <sheet xmlns:r="http://schemas.openxmlformats.org/officeDocument/2006/relationships" name="Business Plan" sheetId="2" state="visible" r:id="rId2"/>
    <sheet xmlns:r="http://schemas.openxmlformats.org/officeDocument/2006/relationships" name="Risk 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8" customWidth="1" min="5" max="5"/>
    <col width="14" customWidth="1" min="6" max="6"/>
    <col width="22" customWidth="1" min="7" max="7"/>
    <col width="24" customWidth="1" min="8" max="8"/>
    <col width="20" customWidth="1" min="9" max="9"/>
    <col width="32" customWidth="1" min="10" max="10"/>
  </cols>
  <sheetData>
    <row r="1">
      <c r="A1" s="1" t="inlineStr">
        <is>
          <t>ABC COMPANY — LOAN PORTFOLIO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Company</t>
        </is>
      </c>
      <c r="B2" s="2" t="inlineStr">
        <is>
          <t>ABC Company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Business Plan Target</t>
        </is>
      </c>
      <c r="B3" s="2" t="inlineStr">
        <is>
          <t>RWF 500,000,000 annual revenue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Purpose</t>
        </is>
      </c>
      <c r="B4" s="2" t="inlineStr">
        <is>
          <t>Controlled ERIDSS financial-risk test dataset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Interest Rate</t>
        </is>
      </c>
      <c r="B5" s="2" t="inlineStr">
        <is>
          <t>9% annual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inlineStr">
        <is>
          <t>Maximum Loan per Client</t>
        </is>
      </c>
      <c r="B6" s="2" t="inlineStr">
        <is>
          <t>RWF 5,000,000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Maximum Repayment Term</t>
        </is>
      </c>
      <c r="B7" s="2" t="inlineStr">
        <is>
          <t>5 years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Number of Clients</t>
        </is>
      </c>
      <c r="B8" s="2" t="n">
        <v>50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3" t="inlineStr">
        <is>
          <t>Client ID</t>
        </is>
      </c>
      <c r="B10" s="3" t="inlineStr">
        <is>
          <t>Client Name</t>
        </is>
      </c>
      <c r="C10" s="3" t="inlineStr">
        <is>
          <t>Sector</t>
        </is>
      </c>
      <c r="D10" s="3" t="inlineStr">
        <is>
          <t>Loan Amount (RWF)</t>
        </is>
      </c>
      <c r="E10" s="3" t="inlineStr">
        <is>
          <t>Annual Interest Rate</t>
        </is>
      </c>
      <c r="F10" s="3" t="inlineStr">
        <is>
          <t>Term (Years)</t>
        </is>
      </c>
      <c r="G10" s="3" t="inlineStr">
        <is>
          <t>Monthly Payment (RWF)</t>
        </is>
      </c>
      <c r="H10" s="3" t="inlineStr">
        <is>
          <t>Outstanding Balance (RWF)</t>
        </is>
      </c>
      <c r="I10" s="3" t="inlineStr">
        <is>
          <t>Repayment Status</t>
        </is>
      </c>
      <c r="J10" s="3" t="inlineStr">
        <is>
          <t>Risk Note</t>
        </is>
      </c>
    </row>
    <row r="11">
      <c r="A11" s="2" t="inlineStr">
        <is>
          <t>ABC-001</t>
        </is>
      </c>
      <c r="B11" s="2" t="inlineStr">
        <is>
          <t>Jean N.</t>
        </is>
      </c>
      <c r="C11" s="2" t="inlineStr">
        <is>
          <t>Food Services</t>
        </is>
      </c>
      <c r="D11" s="4" t="n">
        <v>3900000</v>
      </c>
      <c r="E11" s="5" t="n">
        <v>0.09</v>
      </c>
      <c r="F11" s="2" t="n">
        <v>1</v>
      </c>
      <c r="G11" s="6" t="n">
        <v>341060.76</v>
      </c>
      <c r="H11" s="6" t="n">
        <v>289363.67</v>
      </c>
      <c r="I11" s="2" t="inlineStr">
        <is>
          <t>Current</t>
        </is>
      </c>
      <c r="J11" s="2" t="inlineStr">
        <is>
          <t>Performing account</t>
        </is>
      </c>
    </row>
    <row r="12">
      <c r="A12" s="2" t="inlineStr">
        <is>
          <t>ABC-002</t>
        </is>
      </c>
      <c r="B12" s="2" t="inlineStr">
        <is>
          <t>Aline M.</t>
        </is>
      </c>
      <c r="C12" s="2" t="inlineStr">
        <is>
          <t>Professional Services</t>
        </is>
      </c>
      <c r="D12" s="4" t="n">
        <v>1000000</v>
      </c>
      <c r="E12" s="5" t="n">
        <v>0.09</v>
      </c>
      <c r="F12" s="2" t="n">
        <v>5</v>
      </c>
      <c r="G12" s="6" t="n">
        <v>20758.36</v>
      </c>
      <c r="H12" s="6" t="n">
        <v>686139.55</v>
      </c>
      <c r="I12" s="2" t="inlineStr">
        <is>
          <t>Current</t>
        </is>
      </c>
      <c r="J12" s="2" t="inlineStr">
        <is>
          <t>Performing account</t>
        </is>
      </c>
    </row>
    <row r="13">
      <c r="A13" s="2" t="inlineStr">
        <is>
          <t>ABC-003</t>
        </is>
      </c>
      <c r="B13" s="2" t="inlineStr">
        <is>
          <t>Eric K.</t>
        </is>
      </c>
      <c r="C13" s="2" t="inlineStr">
        <is>
          <t>Professional Services</t>
        </is>
      </c>
      <c r="D13" s="4" t="n">
        <v>4450000</v>
      </c>
      <c r="E13" s="5" t="n">
        <v>0.09</v>
      </c>
      <c r="F13" s="2" t="n">
        <v>3</v>
      </c>
      <c r="G13" s="6" t="n">
        <v>141508.81</v>
      </c>
      <c r="H13" s="6" t="n">
        <v>1915204.66</v>
      </c>
      <c r="I13" s="2" t="inlineStr">
        <is>
          <t>Current</t>
        </is>
      </c>
      <c r="J13" s="2" t="inlineStr">
        <is>
          <t>Performing account</t>
        </is>
      </c>
    </row>
    <row r="14">
      <c r="A14" s="2" t="inlineStr">
        <is>
          <t>ABC-004</t>
        </is>
      </c>
      <c r="B14" s="2" t="inlineStr">
        <is>
          <t>Claudine U.</t>
        </is>
      </c>
      <c r="C14" s="2" t="inlineStr">
        <is>
          <t>Transport</t>
        </is>
      </c>
      <c r="D14" s="4" t="n">
        <v>900000</v>
      </c>
      <c r="E14" s="5" t="n">
        <v>0.09</v>
      </c>
      <c r="F14" s="2" t="n">
        <v>1</v>
      </c>
      <c r="G14" s="6" t="n">
        <v>78706.33</v>
      </c>
      <c r="H14" s="6" t="n">
        <v>319376.71</v>
      </c>
      <c r="I14" s="2" t="inlineStr">
        <is>
          <t>Current</t>
        </is>
      </c>
      <c r="J14" s="2" t="inlineStr">
        <is>
          <t>Performing account</t>
        </is>
      </c>
    </row>
    <row r="15">
      <c r="A15" s="2" t="inlineStr">
        <is>
          <t>ABC-005</t>
        </is>
      </c>
      <c r="B15" s="2" t="inlineStr">
        <is>
          <t>Samuel H.</t>
        </is>
      </c>
      <c r="C15" s="2" t="inlineStr">
        <is>
          <t>Food Services</t>
        </is>
      </c>
      <c r="D15" s="4" t="n">
        <v>1000000</v>
      </c>
      <c r="E15" s="5" t="n">
        <v>0.09</v>
      </c>
      <c r="F15" s="2" t="n">
        <v>2</v>
      </c>
      <c r="G15" s="6" t="n">
        <v>45684.74</v>
      </c>
      <c r="H15" s="6" t="n">
        <v>170164.7</v>
      </c>
      <c r="I15" s="2" t="inlineStr">
        <is>
          <t>Current</t>
        </is>
      </c>
      <c r="J15" s="2" t="inlineStr">
        <is>
          <t>Performing account</t>
        </is>
      </c>
    </row>
    <row r="16">
      <c r="A16" s="2" t="inlineStr">
        <is>
          <t>ABC-006</t>
        </is>
      </c>
      <c r="B16" s="2" t="inlineStr">
        <is>
          <t>Diane A.</t>
        </is>
      </c>
      <c r="C16" s="2" t="inlineStr">
        <is>
          <t>Transport</t>
        </is>
      </c>
      <c r="D16" s="4" t="n">
        <v>2250000</v>
      </c>
      <c r="E16" s="5" t="n">
        <v>0.09</v>
      </c>
      <c r="F16" s="2" t="n">
        <v>4</v>
      </c>
      <c r="G16" s="6" t="n">
        <v>55991.35</v>
      </c>
      <c r="H16" s="6" t="n">
        <v>850239</v>
      </c>
      <c r="I16" s="2" t="inlineStr">
        <is>
          <t>31–60 Days Late</t>
        </is>
      </c>
      <c r="J16" s="2" t="inlineStr">
        <is>
          <t>Elevated repayment concern</t>
        </is>
      </c>
    </row>
    <row r="17">
      <c r="A17" s="2" t="inlineStr">
        <is>
          <t>ABC-007</t>
        </is>
      </c>
      <c r="B17" s="2" t="inlineStr">
        <is>
          <t>Patrick R.</t>
        </is>
      </c>
      <c r="C17" s="2" t="inlineStr">
        <is>
          <t>Professional Services</t>
        </is>
      </c>
      <c r="D17" s="4" t="n">
        <v>1500000</v>
      </c>
      <c r="E17" s="5" t="n">
        <v>0.09</v>
      </c>
      <c r="F17" s="2" t="n">
        <v>3</v>
      </c>
      <c r="G17" s="6" t="n">
        <v>47699.6</v>
      </c>
      <c r="H17" s="6" t="n">
        <v>945384.55</v>
      </c>
      <c r="I17" s="2" t="inlineStr">
        <is>
          <t>Current</t>
        </is>
      </c>
      <c r="J17" s="2" t="inlineStr">
        <is>
          <t>Performing account</t>
        </is>
      </c>
    </row>
    <row r="18">
      <c r="A18" s="2" t="inlineStr">
        <is>
          <t>ABC-008</t>
        </is>
      </c>
      <c r="B18" s="2" t="inlineStr">
        <is>
          <t>Olivia T.</t>
        </is>
      </c>
      <c r="C18" s="2" t="inlineStr">
        <is>
          <t>Agriculture</t>
        </is>
      </c>
      <c r="D18" s="4" t="n">
        <v>2200000</v>
      </c>
      <c r="E18" s="5" t="n">
        <v>0.09</v>
      </c>
      <c r="F18" s="2" t="n">
        <v>1</v>
      </c>
      <c r="G18" s="6" t="n">
        <v>192393.25</v>
      </c>
      <c r="H18" s="6" t="n">
        <v>883920.61</v>
      </c>
      <c r="I18" s="2" t="inlineStr">
        <is>
          <t>Current</t>
        </is>
      </c>
      <c r="J18" s="2" t="inlineStr">
        <is>
          <t>Performing account</t>
        </is>
      </c>
    </row>
    <row r="19">
      <c r="A19" s="2" t="inlineStr">
        <is>
          <t>ABC-009</t>
        </is>
      </c>
      <c r="B19" s="2" t="inlineStr">
        <is>
          <t>Emmanuel G.</t>
        </is>
      </c>
      <c r="C19" s="2" t="inlineStr">
        <is>
          <t>Food Services</t>
        </is>
      </c>
      <c r="D19" s="4" t="n">
        <v>3900000</v>
      </c>
      <c r="E19" s="5" t="n">
        <v>0.09</v>
      </c>
      <c r="F19" s="2" t="n">
        <v>2</v>
      </c>
      <c r="G19" s="6" t="n">
        <v>178170.49</v>
      </c>
      <c r="H19" s="6" t="n">
        <v>3131457.25</v>
      </c>
      <c r="I19" s="2" t="inlineStr">
        <is>
          <t>Current</t>
        </is>
      </c>
      <c r="J19" s="2" t="inlineStr">
        <is>
          <t>Performing account</t>
        </is>
      </c>
    </row>
    <row r="20">
      <c r="A20" s="2" t="inlineStr">
        <is>
          <t>ABC-010</t>
        </is>
      </c>
      <c r="B20" s="2" t="inlineStr">
        <is>
          <t>Grace I.</t>
        </is>
      </c>
      <c r="C20" s="2" t="inlineStr">
        <is>
          <t>Transport</t>
        </is>
      </c>
      <c r="D20" s="4" t="n">
        <v>2200000</v>
      </c>
      <c r="E20" s="5" t="n">
        <v>0.09</v>
      </c>
      <c r="F20" s="2" t="n">
        <v>5</v>
      </c>
      <c r="G20" s="6" t="n">
        <v>45668.38</v>
      </c>
      <c r="H20" s="6" t="n">
        <v>1655161.96</v>
      </c>
      <c r="I20" s="2" t="inlineStr">
        <is>
          <t>Current</t>
        </is>
      </c>
      <c r="J20" s="2" t="inlineStr">
        <is>
          <t>Performing account</t>
        </is>
      </c>
    </row>
    <row r="21">
      <c r="A21" s="2" t="inlineStr">
        <is>
          <t>ABC-011</t>
        </is>
      </c>
      <c r="B21" s="2" t="inlineStr">
        <is>
          <t>David B.</t>
        </is>
      </c>
      <c r="C21" s="2" t="inlineStr">
        <is>
          <t>Transport</t>
        </is>
      </c>
      <c r="D21" s="4" t="n">
        <v>850000</v>
      </c>
      <c r="E21" s="5" t="n">
        <v>0.09</v>
      </c>
      <c r="F21" s="2" t="n">
        <v>2</v>
      </c>
      <c r="G21" s="6" t="n">
        <v>38832.03</v>
      </c>
      <c r="H21" s="6" t="n">
        <v>178821.02</v>
      </c>
      <c r="I21" s="2" t="inlineStr">
        <is>
          <t>Current</t>
        </is>
      </c>
      <c r="J21" s="2" t="inlineStr">
        <is>
          <t>Performing account</t>
        </is>
      </c>
    </row>
    <row r="22">
      <c r="A22" s="2" t="inlineStr">
        <is>
          <t>ABC-012</t>
        </is>
      </c>
      <c r="B22" s="2" t="inlineStr">
        <is>
          <t>Alice W.</t>
        </is>
      </c>
      <c r="C22" s="2" t="inlineStr">
        <is>
          <t>Construction</t>
        </is>
      </c>
      <c r="D22" s="4" t="n">
        <v>3050000</v>
      </c>
      <c r="E22" s="5" t="n">
        <v>0.09</v>
      </c>
      <c r="F22" s="2" t="n">
        <v>3</v>
      </c>
      <c r="G22" s="6" t="n">
        <v>96989.17999999999</v>
      </c>
      <c r="H22" s="6" t="n">
        <v>2715812.28</v>
      </c>
      <c r="I22" s="2" t="inlineStr">
        <is>
          <t>Current</t>
        </is>
      </c>
      <c r="J22" s="2" t="inlineStr">
        <is>
          <t>Performing account</t>
        </is>
      </c>
    </row>
    <row r="23">
      <c r="A23" s="2" t="inlineStr">
        <is>
          <t>ABC-013</t>
        </is>
      </c>
      <c r="B23" s="2" t="inlineStr">
        <is>
          <t>Kevin S.</t>
        </is>
      </c>
      <c r="C23" s="2" t="inlineStr">
        <is>
          <t>Food Services</t>
        </is>
      </c>
      <c r="D23" s="4" t="n">
        <v>2500000</v>
      </c>
      <c r="E23" s="5" t="n">
        <v>0.09</v>
      </c>
      <c r="F23" s="2" t="n">
        <v>2</v>
      </c>
      <c r="G23" s="6" t="n">
        <v>114211.86</v>
      </c>
      <c r="H23" s="6" t="n">
        <v>900263</v>
      </c>
      <c r="I23" s="2" t="inlineStr">
        <is>
          <t>Current</t>
        </is>
      </c>
      <c r="J23" s="2" t="inlineStr">
        <is>
          <t>Performing account</t>
        </is>
      </c>
    </row>
    <row r="24">
      <c r="A24" s="2" t="inlineStr">
        <is>
          <t>ABC-014</t>
        </is>
      </c>
      <c r="B24" s="2" t="inlineStr">
        <is>
          <t>Mireille P.</t>
        </is>
      </c>
      <c r="C24" s="2" t="inlineStr">
        <is>
          <t>Agriculture</t>
        </is>
      </c>
      <c r="D24" s="4" t="n">
        <v>4600000</v>
      </c>
      <c r="E24" s="5" t="n">
        <v>0.09</v>
      </c>
      <c r="F24" s="2" t="n">
        <v>4</v>
      </c>
      <c r="G24" s="6" t="n">
        <v>114471.19</v>
      </c>
      <c r="H24" s="6" t="n">
        <v>3778511.62</v>
      </c>
      <c r="I24" s="2" t="inlineStr">
        <is>
          <t>Current</t>
        </is>
      </c>
      <c r="J24" s="2" t="inlineStr">
        <is>
          <t>Performing account</t>
        </is>
      </c>
    </row>
    <row r="25">
      <c r="A25" s="2" t="inlineStr">
        <is>
          <t>ABC-015</t>
        </is>
      </c>
      <c r="B25" s="2" t="inlineStr">
        <is>
          <t>Robert D.</t>
        </is>
      </c>
      <c r="C25" s="2" t="inlineStr">
        <is>
          <t>Professional Services</t>
        </is>
      </c>
      <c r="D25" s="4" t="n">
        <v>2050000</v>
      </c>
      <c r="E25" s="5" t="n">
        <v>0.09</v>
      </c>
      <c r="F25" s="2" t="n">
        <v>5</v>
      </c>
      <c r="G25" s="6" t="n">
        <v>42554.63</v>
      </c>
      <c r="H25" s="6" t="n">
        <v>953086.9</v>
      </c>
      <c r="I25" s="2" t="inlineStr">
        <is>
          <t>1–30 Days Late</t>
        </is>
      </c>
      <c r="J25" s="2" t="inlineStr">
        <is>
          <t>Early delinquency; monitor</t>
        </is>
      </c>
    </row>
    <row r="26">
      <c r="A26" s="2" t="inlineStr">
        <is>
          <t>ABC-016</t>
        </is>
      </c>
      <c r="B26" s="2" t="inlineStr">
        <is>
          <t>Esther N.</t>
        </is>
      </c>
      <c r="C26" s="2" t="inlineStr">
        <is>
          <t>Food Services</t>
        </is>
      </c>
      <c r="D26" s="4" t="n">
        <v>4200000</v>
      </c>
      <c r="E26" s="5" t="n">
        <v>0.09</v>
      </c>
      <c r="F26" s="2" t="n">
        <v>4</v>
      </c>
      <c r="G26" s="6" t="n">
        <v>104517.18</v>
      </c>
      <c r="H26" s="6" t="n">
        <v>596229.5</v>
      </c>
      <c r="I26" s="2" t="inlineStr">
        <is>
          <t>1–30 Days Late</t>
        </is>
      </c>
      <c r="J26" s="2" t="inlineStr">
        <is>
          <t>Early delinquency; monitor</t>
        </is>
      </c>
    </row>
    <row r="27">
      <c r="A27" s="2" t="inlineStr">
        <is>
          <t>ABC-017</t>
        </is>
      </c>
      <c r="B27" s="2" t="inlineStr">
        <is>
          <t>Daniel T.</t>
        </is>
      </c>
      <c r="C27" s="2" t="inlineStr">
        <is>
          <t>Agriculture</t>
        </is>
      </c>
      <c r="D27" s="4" t="n">
        <v>2800000</v>
      </c>
      <c r="E27" s="5" t="n">
        <v>0.09</v>
      </c>
      <c r="F27" s="2" t="n">
        <v>2</v>
      </c>
      <c r="G27" s="6" t="n">
        <v>127917.28</v>
      </c>
      <c r="H27" s="6" t="n">
        <v>146739.04</v>
      </c>
      <c r="I27" s="2" t="inlineStr">
        <is>
          <t>Current</t>
        </is>
      </c>
      <c r="J27" s="2" t="inlineStr">
        <is>
          <t>Performing account</t>
        </is>
      </c>
    </row>
    <row r="28">
      <c r="A28" s="2" t="inlineStr">
        <is>
          <t>ABC-018</t>
        </is>
      </c>
      <c r="B28" s="2" t="inlineStr">
        <is>
          <t>Sandra K.</t>
        </is>
      </c>
      <c r="C28" s="2" t="inlineStr">
        <is>
          <t>Retail</t>
        </is>
      </c>
      <c r="D28" s="4" t="n">
        <v>3750000</v>
      </c>
      <c r="E28" s="5" t="n">
        <v>0.09</v>
      </c>
      <c r="F28" s="2" t="n">
        <v>4</v>
      </c>
      <c r="G28" s="6" t="n">
        <v>93318.91</v>
      </c>
      <c r="H28" s="6" t="n">
        <v>3255680.73</v>
      </c>
      <c r="I28" s="2" t="inlineStr">
        <is>
          <t>Current</t>
        </is>
      </c>
      <c r="J28" s="2" t="inlineStr">
        <is>
          <t>Performing account</t>
        </is>
      </c>
    </row>
    <row r="29">
      <c r="A29" s="2" t="inlineStr">
        <is>
          <t>ABC-019</t>
        </is>
      </c>
      <c r="B29" s="2" t="inlineStr">
        <is>
          <t>Fabrice M.</t>
        </is>
      </c>
      <c r="C29" s="2" t="inlineStr">
        <is>
          <t>Professional Services</t>
        </is>
      </c>
      <c r="D29" s="4" t="n">
        <v>1200000</v>
      </c>
      <c r="E29" s="5" t="n">
        <v>0.09</v>
      </c>
      <c r="F29" s="2" t="n">
        <v>2</v>
      </c>
      <c r="G29" s="6" t="n">
        <v>54821.69</v>
      </c>
      <c r="H29" s="6" t="n">
        <v>462358.27</v>
      </c>
      <c r="I29" s="2" t="inlineStr">
        <is>
          <t>Current</t>
        </is>
      </c>
      <c r="J29" s="2" t="inlineStr">
        <is>
          <t>Performing account</t>
        </is>
      </c>
    </row>
    <row r="30">
      <c r="A30" s="2" t="inlineStr">
        <is>
          <t>ABC-020</t>
        </is>
      </c>
      <c r="B30" s="2" t="inlineStr">
        <is>
          <t>Agnes U.</t>
        </is>
      </c>
      <c r="C30" s="2" t="inlineStr">
        <is>
          <t>Food Services</t>
        </is>
      </c>
      <c r="D30" s="4" t="n">
        <v>3200000</v>
      </c>
      <c r="E30" s="5" t="n">
        <v>0.09</v>
      </c>
      <c r="F30" s="2" t="n">
        <v>5</v>
      </c>
      <c r="G30" s="6" t="n">
        <v>66426.74000000001</v>
      </c>
      <c r="H30" s="6" t="n">
        <v>2857040.21</v>
      </c>
      <c r="I30" s="2" t="inlineStr">
        <is>
          <t>Current</t>
        </is>
      </c>
      <c r="J30" s="2" t="inlineStr">
        <is>
          <t>Performing account</t>
        </is>
      </c>
    </row>
    <row r="31">
      <c r="A31" s="2" t="inlineStr">
        <is>
          <t>ABC-021</t>
        </is>
      </c>
      <c r="B31" s="2" t="inlineStr">
        <is>
          <t>Brian E.</t>
        </is>
      </c>
      <c r="C31" s="2" t="inlineStr">
        <is>
          <t>Construction</t>
        </is>
      </c>
      <c r="D31" s="4" t="n">
        <v>4300000</v>
      </c>
      <c r="E31" s="5" t="n">
        <v>0.09</v>
      </c>
      <c r="F31" s="2" t="n">
        <v>4</v>
      </c>
      <c r="G31" s="6" t="n">
        <v>107005.68</v>
      </c>
      <c r="H31" s="6" t="n">
        <v>2037327.48</v>
      </c>
      <c r="I31" s="2" t="inlineStr">
        <is>
          <t>1–30 Days Late</t>
        </is>
      </c>
      <c r="J31" s="2" t="inlineStr">
        <is>
          <t>Early delinquency; monitor</t>
        </is>
      </c>
    </row>
    <row r="32">
      <c r="A32" s="2" t="inlineStr">
        <is>
          <t>ABC-022</t>
        </is>
      </c>
      <c r="B32" s="2" t="inlineStr">
        <is>
          <t>Chantal R.</t>
        </is>
      </c>
      <c r="C32" s="2" t="inlineStr">
        <is>
          <t>Construction</t>
        </is>
      </c>
      <c r="D32" s="4" t="n">
        <v>550000</v>
      </c>
      <c r="E32" s="5" t="n">
        <v>0.09</v>
      </c>
      <c r="F32" s="2" t="n">
        <v>1</v>
      </c>
      <c r="G32" s="6" t="n">
        <v>48098.31</v>
      </c>
      <c r="H32" s="6" t="n">
        <v>185053.37</v>
      </c>
      <c r="I32" s="2" t="inlineStr">
        <is>
          <t>Current</t>
        </is>
      </c>
      <c r="J32" s="2" t="inlineStr">
        <is>
          <t>Performing account</t>
        </is>
      </c>
    </row>
    <row r="33">
      <c r="A33" s="2" t="inlineStr">
        <is>
          <t>ABC-023</t>
        </is>
      </c>
      <c r="B33" s="2" t="inlineStr">
        <is>
          <t>Yves G.</t>
        </is>
      </c>
      <c r="C33" s="2" t="inlineStr">
        <is>
          <t>Food Services</t>
        </is>
      </c>
      <c r="D33" s="4" t="n">
        <v>2200000</v>
      </c>
      <c r="E33" s="5" t="n">
        <v>0.09</v>
      </c>
      <c r="F33" s="2" t="n">
        <v>3</v>
      </c>
      <c r="G33" s="6" t="n">
        <v>69959.41</v>
      </c>
      <c r="H33" s="6" t="n">
        <v>1869126.7</v>
      </c>
      <c r="I33" s="2" t="inlineStr">
        <is>
          <t>Current</t>
        </is>
      </c>
      <c r="J33" s="2" t="inlineStr">
        <is>
          <t>Performing account</t>
        </is>
      </c>
    </row>
    <row r="34">
      <c r="A34" s="2" t="inlineStr">
        <is>
          <t>ABC-024</t>
        </is>
      </c>
      <c r="B34" s="2" t="inlineStr">
        <is>
          <t>Carine H.</t>
        </is>
      </c>
      <c r="C34" s="2" t="inlineStr">
        <is>
          <t>Professional Services</t>
        </is>
      </c>
      <c r="D34" s="4" t="n">
        <v>1500000</v>
      </c>
      <c r="E34" s="5" t="n">
        <v>0.09</v>
      </c>
      <c r="F34" s="2" t="n">
        <v>4</v>
      </c>
      <c r="G34" s="6" t="n">
        <v>37327.56</v>
      </c>
      <c r="H34" s="6" t="n">
        <v>1420618.82</v>
      </c>
      <c r="I34" s="2" t="inlineStr">
        <is>
          <t>61–90 Days Late</t>
        </is>
      </c>
      <c r="J34" s="2" t="inlineStr">
        <is>
          <t>High repayment concern</t>
        </is>
      </c>
    </row>
    <row r="35">
      <c r="A35" s="2" t="inlineStr">
        <is>
          <t>ABC-025</t>
        </is>
      </c>
      <c r="B35" s="2" t="inlineStr">
        <is>
          <t>Michael N.</t>
        </is>
      </c>
      <c r="C35" s="2" t="inlineStr">
        <is>
          <t>Construction</t>
        </is>
      </c>
      <c r="D35" s="4" t="n">
        <v>2150000</v>
      </c>
      <c r="E35" s="5" t="n">
        <v>0.09</v>
      </c>
      <c r="F35" s="2" t="n">
        <v>5</v>
      </c>
      <c r="G35" s="6" t="n">
        <v>44630.46</v>
      </c>
      <c r="H35" s="6" t="n">
        <v>568103.14</v>
      </c>
      <c r="I35" s="2" t="inlineStr">
        <is>
          <t>1–30 Days Late</t>
        </is>
      </c>
      <c r="J35" s="2" t="inlineStr">
        <is>
          <t>Early delinquency; monitor</t>
        </is>
      </c>
    </row>
    <row r="36">
      <c r="A36" s="2" t="inlineStr">
        <is>
          <t>ABC-026</t>
        </is>
      </c>
      <c r="B36" s="2" t="inlineStr">
        <is>
          <t>Doreen M.</t>
        </is>
      </c>
      <c r="C36" s="2" t="inlineStr">
        <is>
          <t>Construction</t>
        </is>
      </c>
      <c r="D36" s="4" t="n">
        <v>1150000</v>
      </c>
      <c r="E36" s="5" t="n">
        <v>0.09</v>
      </c>
      <c r="F36" s="2" t="n">
        <v>3</v>
      </c>
      <c r="G36" s="6" t="n">
        <v>36569.69</v>
      </c>
      <c r="H36" s="6" t="n">
        <v>221372.22</v>
      </c>
      <c r="I36" s="2" t="inlineStr">
        <is>
          <t>Current</t>
        </is>
      </c>
      <c r="J36" s="2" t="inlineStr">
        <is>
          <t>Performing account</t>
        </is>
      </c>
    </row>
    <row r="37">
      <c r="A37" s="2" t="inlineStr">
        <is>
          <t>ABC-027</t>
        </is>
      </c>
      <c r="B37" s="2" t="inlineStr">
        <is>
          <t>Joseph K.</t>
        </is>
      </c>
      <c r="C37" s="2" t="inlineStr">
        <is>
          <t>Agriculture</t>
        </is>
      </c>
      <c r="D37" s="4" t="n">
        <v>4350000</v>
      </c>
      <c r="E37" s="5" t="n">
        <v>0.09</v>
      </c>
      <c r="F37" s="2" t="n">
        <v>2</v>
      </c>
      <c r="G37" s="6" t="n">
        <v>198728.63</v>
      </c>
      <c r="H37" s="6" t="n">
        <v>3534134.26</v>
      </c>
      <c r="I37" s="2" t="inlineStr">
        <is>
          <t>Current</t>
        </is>
      </c>
      <c r="J37" s="2" t="inlineStr">
        <is>
          <t>Performing account</t>
        </is>
      </c>
    </row>
    <row r="38">
      <c r="A38" s="2" t="inlineStr">
        <is>
          <t>ABC-028</t>
        </is>
      </c>
      <c r="B38" s="2" t="inlineStr">
        <is>
          <t>Beata S.</t>
        </is>
      </c>
      <c r="C38" s="2" t="inlineStr">
        <is>
          <t>Construction</t>
        </is>
      </c>
      <c r="D38" s="4" t="n">
        <v>3950000</v>
      </c>
      <c r="E38" s="5" t="n">
        <v>0.09</v>
      </c>
      <c r="F38" s="2" t="n">
        <v>5</v>
      </c>
      <c r="G38" s="6" t="n">
        <v>81995.5</v>
      </c>
      <c r="H38" s="6" t="n">
        <v>487255.63</v>
      </c>
      <c r="I38" s="2" t="inlineStr">
        <is>
          <t>Current</t>
        </is>
      </c>
      <c r="J38" s="2" t="inlineStr">
        <is>
          <t>Performing account</t>
        </is>
      </c>
    </row>
    <row r="39">
      <c r="A39" s="2" t="inlineStr">
        <is>
          <t>ABC-029</t>
        </is>
      </c>
      <c r="B39" s="2" t="inlineStr">
        <is>
          <t>Innocent P.</t>
        </is>
      </c>
      <c r="C39" s="2" t="inlineStr">
        <is>
          <t>Transport</t>
        </is>
      </c>
      <c r="D39" s="4" t="n">
        <v>2550000</v>
      </c>
      <c r="E39" s="5" t="n">
        <v>0.09</v>
      </c>
      <c r="F39" s="2" t="n">
        <v>4</v>
      </c>
      <c r="G39" s="6" t="n">
        <v>63456.86</v>
      </c>
      <c r="H39" s="6" t="n">
        <v>2377800.88</v>
      </c>
      <c r="I39" s="2" t="inlineStr">
        <is>
          <t>Current</t>
        </is>
      </c>
      <c r="J39" s="2" t="inlineStr">
        <is>
          <t>Performing account</t>
        </is>
      </c>
    </row>
    <row r="40">
      <c r="A40" s="2" t="inlineStr">
        <is>
          <t>ABC-030</t>
        </is>
      </c>
      <c r="B40" s="2" t="inlineStr">
        <is>
          <t>Linda A.</t>
        </is>
      </c>
      <c r="C40" s="2" t="inlineStr">
        <is>
          <t>Construction</t>
        </is>
      </c>
      <c r="D40" s="4" t="n">
        <v>2450000</v>
      </c>
      <c r="E40" s="5" t="n">
        <v>0.09</v>
      </c>
      <c r="F40" s="2" t="n">
        <v>2</v>
      </c>
      <c r="G40" s="6" t="n">
        <v>111927.62</v>
      </c>
      <c r="H40" s="6" t="n">
        <v>2199775.01</v>
      </c>
      <c r="I40" s="2" t="inlineStr">
        <is>
          <t>1–30 Days Late</t>
        </is>
      </c>
      <c r="J40" s="2" t="inlineStr">
        <is>
          <t>Early delinquency; monitor</t>
        </is>
      </c>
    </row>
    <row r="41">
      <c r="A41" s="2" t="inlineStr">
        <is>
          <t>ABC-031</t>
        </is>
      </c>
      <c r="B41" s="2" t="inlineStr">
        <is>
          <t>Alexis T.</t>
        </is>
      </c>
      <c r="C41" s="2" t="inlineStr">
        <is>
          <t>Retail</t>
        </is>
      </c>
      <c r="D41" s="4" t="n">
        <v>1000000</v>
      </c>
      <c r="E41" s="5" t="n">
        <v>0.09</v>
      </c>
      <c r="F41" s="2" t="n">
        <v>1</v>
      </c>
      <c r="G41" s="6" t="n">
        <v>87451.48</v>
      </c>
      <c r="H41" s="6" t="n">
        <v>291283.16</v>
      </c>
      <c r="I41" s="2" t="inlineStr">
        <is>
          <t>31–60 Days Late</t>
        </is>
      </c>
      <c r="J41" s="2" t="inlineStr">
        <is>
          <t>Elevated repayment concern</t>
        </is>
      </c>
    </row>
    <row r="42">
      <c r="A42" s="2" t="inlineStr">
        <is>
          <t>ABC-032</t>
        </is>
      </c>
      <c r="B42" s="2" t="inlineStr">
        <is>
          <t>Marie C.</t>
        </is>
      </c>
      <c r="C42" s="2" t="inlineStr">
        <is>
          <t>Food Services</t>
        </is>
      </c>
      <c r="D42" s="4" t="n">
        <v>3900000</v>
      </c>
      <c r="E42" s="5" t="n">
        <v>0.09</v>
      </c>
      <c r="F42" s="2" t="n">
        <v>2</v>
      </c>
      <c r="G42" s="6" t="n">
        <v>178170.49</v>
      </c>
      <c r="H42" s="6" t="n">
        <v>3254345.96</v>
      </c>
      <c r="I42" s="2" t="inlineStr">
        <is>
          <t>Current</t>
        </is>
      </c>
      <c r="J42" s="2" t="inlineStr">
        <is>
          <t>Performing account</t>
        </is>
      </c>
    </row>
    <row r="43">
      <c r="A43" s="2" t="inlineStr">
        <is>
          <t>ABC-033</t>
        </is>
      </c>
      <c r="B43" s="2" t="inlineStr">
        <is>
          <t>Felix R.</t>
        </is>
      </c>
      <c r="C43" s="2" t="inlineStr">
        <is>
          <t>Construction</t>
        </is>
      </c>
      <c r="D43" s="4" t="n">
        <v>4000000</v>
      </c>
      <c r="E43" s="5" t="n">
        <v>0.09</v>
      </c>
      <c r="F43" s="2" t="n">
        <v>2</v>
      </c>
      <c r="G43" s="6" t="n">
        <v>182738.97</v>
      </c>
      <c r="H43" s="6" t="n">
        <v>2845796.14</v>
      </c>
      <c r="I43" s="2" t="inlineStr">
        <is>
          <t>Current</t>
        </is>
      </c>
      <c r="J43" s="2" t="inlineStr">
        <is>
          <t>Performing account</t>
        </is>
      </c>
    </row>
    <row r="44">
      <c r="A44" s="2" t="inlineStr">
        <is>
          <t>ABC-034</t>
        </is>
      </c>
      <c r="B44" s="2" t="inlineStr">
        <is>
          <t>Nadine G.</t>
        </is>
      </c>
      <c r="C44" s="2" t="inlineStr">
        <is>
          <t>Professional Services</t>
        </is>
      </c>
      <c r="D44" s="4" t="n">
        <v>3200000</v>
      </c>
      <c r="E44" s="5" t="n">
        <v>0.09</v>
      </c>
      <c r="F44" s="2" t="n">
        <v>2</v>
      </c>
      <c r="G44" s="6" t="n">
        <v>146191.18</v>
      </c>
      <c r="H44" s="6" t="n">
        <v>364729.14</v>
      </c>
      <c r="I44" s="2" t="inlineStr">
        <is>
          <t>31–60 Days Late</t>
        </is>
      </c>
      <c r="J44" s="2" t="inlineStr">
        <is>
          <t>Elevated repayment concern</t>
        </is>
      </c>
    </row>
    <row r="45">
      <c r="A45" s="2" t="inlineStr">
        <is>
          <t>ABC-035</t>
        </is>
      </c>
      <c r="B45" s="2" t="inlineStr">
        <is>
          <t>Peter U.</t>
        </is>
      </c>
      <c r="C45" s="2" t="inlineStr">
        <is>
          <t>Food Services</t>
        </is>
      </c>
      <c r="D45" s="4" t="n">
        <v>4900000</v>
      </c>
      <c r="E45" s="5" t="n">
        <v>0.09</v>
      </c>
      <c r="F45" s="2" t="n">
        <v>2</v>
      </c>
      <c r="G45" s="6" t="n">
        <v>223855.24</v>
      </c>
      <c r="H45" s="6" t="n">
        <v>1510895.03</v>
      </c>
      <c r="I45" s="2" t="inlineStr">
        <is>
          <t>Current</t>
        </is>
      </c>
      <c r="J45" s="2" t="inlineStr">
        <is>
          <t>Performing account</t>
        </is>
      </c>
    </row>
    <row r="46">
      <c r="A46" s="2" t="inlineStr">
        <is>
          <t>ABC-036</t>
        </is>
      </c>
      <c r="B46" s="2" t="inlineStr">
        <is>
          <t>Gloria H.</t>
        </is>
      </c>
      <c r="C46" s="2" t="inlineStr">
        <is>
          <t>Construction</t>
        </is>
      </c>
      <c r="D46" s="4" t="n">
        <v>4750000</v>
      </c>
      <c r="E46" s="5" t="n">
        <v>0.09</v>
      </c>
      <c r="F46" s="2" t="n">
        <v>3</v>
      </c>
      <c r="G46" s="6" t="n">
        <v>151048.73</v>
      </c>
      <c r="H46" s="6" t="n">
        <v>2639622.14</v>
      </c>
      <c r="I46" s="2" t="inlineStr">
        <is>
          <t>Restructured</t>
        </is>
      </c>
      <c r="J46" s="2" t="inlineStr">
        <is>
          <t>Restructured; requires monitoring</t>
        </is>
      </c>
    </row>
    <row r="47">
      <c r="A47" s="2" t="inlineStr">
        <is>
          <t>ABC-037</t>
        </is>
      </c>
      <c r="B47" s="2" t="inlineStr">
        <is>
          <t>Patrick M.</t>
        </is>
      </c>
      <c r="C47" s="2" t="inlineStr">
        <is>
          <t>Retail</t>
        </is>
      </c>
      <c r="D47" s="4" t="n">
        <v>3350000</v>
      </c>
      <c r="E47" s="5" t="n">
        <v>0.09</v>
      </c>
      <c r="F47" s="2" t="n">
        <v>1</v>
      </c>
      <c r="G47" s="6" t="n">
        <v>292962.45</v>
      </c>
      <c r="H47" s="6" t="n">
        <v>2435064.57</v>
      </c>
      <c r="I47" s="2" t="inlineStr">
        <is>
          <t>61–90 Days Late</t>
        </is>
      </c>
      <c r="J47" s="2" t="inlineStr">
        <is>
          <t>High repayment concern</t>
        </is>
      </c>
    </row>
    <row r="48">
      <c r="A48" s="2" t="inlineStr">
        <is>
          <t>ABC-038</t>
        </is>
      </c>
      <c r="B48" s="2" t="inlineStr">
        <is>
          <t>Ange D.</t>
        </is>
      </c>
      <c r="C48" s="2" t="inlineStr">
        <is>
          <t>Agriculture</t>
        </is>
      </c>
      <c r="D48" s="4" t="n">
        <v>2650000</v>
      </c>
      <c r="E48" s="5" t="n">
        <v>0.09</v>
      </c>
      <c r="F48" s="2" t="n">
        <v>1</v>
      </c>
      <c r="G48" s="6" t="n">
        <v>231746.41</v>
      </c>
      <c r="H48" s="6" t="n">
        <v>1114383.71</v>
      </c>
      <c r="I48" s="2" t="inlineStr">
        <is>
          <t>Current</t>
        </is>
      </c>
      <c r="J48" s="2" t="inlineStr">
        <is>
          <t>Performing account</t>
        </is>
      </c>
    </row>
    <row r="49">
      <c r="A49" s="2" t="inlineStr">
        <is>
          <t>ABC-039</t>
        </is>
      </c>
      <c r="B49" s="2" t="inlineStr">
        <is>
          <t>Cedric B.</t>
        </is>
      </c>
      <c r="C49" s="2" t="inlineStr">
        <is>
          <t>Professional Services</t>
        </is>
      </c>
      <c r="D49" s="4" t="n">
        <v>4250000</v>
      </c>
      <c r="E49" s="5" t="n">
        <v>0.09</v>
      </c>
      <c r="F49" s="2" t="n">
        <v>2</v>
      </c>
      <c r="G49" s="6" t="n">
        <v>194160.15</v>
      </c>
      <c r="H49" s="6" t="n">
        <v>4009995.04</v>
      </c>
      <c r="I49" s="2" t="inlineStr">
        <is>
          <t>Current</t>
        </is>
      </c>
      <c r="J49" s="2" t="inlineStr">
        <is>
          <t>Performing account</t>
        </is>
      </c>
    </row>
    <row r="50">
      <c r="A50" s="2" t="inlineStr">
        <is>
          <t>ABC-040</t>
        </is>
      </c>
      <c r="B50" s="2" t="inlineStr">
        <is>
          <t>Solange K.</t>
        </is>
      </c>
      <c r="C50" s="2" t="inlineStr">
        <is>
          <t>Retail</t>
        </is>
      </c>
      <c r="D50" s="4" t="n">
        <v>4500000</v>
      </c>
      <c r="E50" s="5" t="n">
        <v>0.09</v>
      </c>
      <c r="F50" s="2" t="n">
        <v>1</v>
      </c>
      <c r="G50" s="6" t="n">
        <v>393531.65</v>
      </c>
      <c r="H50" s="6" t="n">
        <v>3347785.78</v>
      </c>
      <c r="I50" s="2" t="inlineStr">
        <is>
          <t>Current</t>
        </is>
      </c>
      <c r="J50" s="2" t="inlineStr">
        <is>
          <t>Performing account</t>
        </is>
      </c>
    </row>
    <row r="51">
      <c r="A51" s="2" t="inlineStr">
        <is>
          <t>ABC-041</t>
        </is>
      </c>
      <c r="B51" s="2" t="inlineStr">
        <is>
          <t>Kevin P.</t>
        </is>
      </c>
      <c r="C51" s="2" t="inlineStr">
        <is>
          <t>Transport</t>
        </is>
      </c>
      <c r="D51" s="4" t="n">
        <v>2600000</v>
      </c>
      <c r="E51" s="5" t="n">
        <v>0.09</v>
      </c>
      <c r="F51" s="2" t="n">
        <v>1</v>
      </c>
      <c r="G51" s="6" t="n">
        <v>227373.84</v>
      </c>
      <c r="H51" s="6" t="n">
        <v>1266874.68</v>
      </c>
      <c r="I51" s="2" t="inlineStr">
        <is>
          <t>Current</t>
        </is>
      </c>
      <c r="J51" s="2" t="inlineStr">
        <is>
          <t>Performing account</t>
        </is>
      </c>
    </row>
    <row r="52">
      <c r="A52" s="2" t="inlineStr">
        <is>
          <t>ABC-042</t>
        </is>
      </c>
      <c r="B52" s="2" t="inlineStr">
        <is>
          <t>Rita N.</t>
        </is>
      </c>
      <c r="C52" s="2" t="inlineStr">
        <is>
          <t>Agriculture</t>
        </is>
      </c>
      <c r="D52" s="4" t="n">
        <v>4750000</v>
      </c>
      <c r="E52" s="5" t="n">
        <v>0.09</v>
      </c>
      <c r="F52" s="2" t="n">
        <v>4</v>
      </c>
      <c r="G52" s="6" t="n">
        <v>118203.95</v>
      </c>
      <c r="H52" s="6" t="n">
        <v>3596637.65</v>
      </c>
      <c r="I52" s="2" t="inlineStr">
        <is>
          <t>Current</t>
        </is>
      </c>
      <c r="J52" s="2" t="inlineStr">
        <is>
          <t>Performing account</t>
        </is>
      </c>
    </row>
    <row r="53">
      <c r="A53" s="2" t="inlineStr">
        <is>
          <t>ABC-043</t>
        </is>
      </c>
      <c r="B53" s="2" t="inlineStr">
        <is>
          <t>Samuel W.</t>
        </is>
      </c>
      <c r="C53" s="2" t="inlineStr">
        <is>
          <t>Food Services</t>
        </is>
      </c>
      <c r="D53" s="4" t="n">
        <v>4150000</v>
      </c>
      <c r="E53" s="5" t="n">
        <v>0.09</v>
      </c>
      <c r="F53" s="2" t="n">
        <v>5</v>
      </c>
      <c r="G53" s="6" t="n">
        <v>86147.17</v>
      </c>
      <c r="H53" s="6" t="n">
        <v>2177073.72</v>
      </c>
      <c r="I53" s="2" t="inlineStr">
        <is>
          <t>Current</t>
        </is>
      </c>
      <c r="J53" s="2" t="inlineStr">
        <is>
          <t>Performing account</t>
        </is>
      </c>
    </row>
    <row r="54">
      <c r="A54" s="2" t="inlineStr">
        <is>
          <t>ABC-044</t>
        </is>
      </c>
      <c r="B54" s="2" t="inlineStr">
        <is>
          <t>Alice R.</t>
        </is>
      </c>
      <c r="C54" s="2" t="inlineStr">
        <is>
          <t>Professional Services</t>
        </is>
      </c>
      <c r="D54" s="4" t="n">
        <v>3100000</v>
      </c>
      <c r="E54" s="5" t="n">
        <v>0.09</v>
      </c>
      <c r="F54" s="2" t="n">
        <v>2</v>
      </c>
      <c r="G54" s="6" t="n">
        <v>141622.7</v>
      </c>
      <c r="H54" s="6" t="n">
        <v>2681831.03</v>
      </c>
      <c r="I54" s="2" t="inlineStr">
        <is>
          <t>Current</t>
        </is>
      </c>
      <c r="J54" s="2" t="inlineStr">
        <is>
          <t>Performing account</t>
        </is>
      </c>
    </row>
    <row r="55">
      <c r="A55" s="2" t="inlineStr">
        <is>
          <t>ABC-045</t>
        </is>
      </c>
      <c r="B55" s="2" t="inlineStr">
        <is>
          <t>Emery T.</t>
        </is>
      </c>
      <c r="C55" s="2" t="inlineStr">
        <is>
          <t>Food Services</t>
        </is>
      </c>
      <c r="D55" s="4" t="n">
        <v>3250000</v>
      </c>
      <c r="E55" s="5" t="n">
        <v>0.09</v>
      </c>
      <c r="F55" s="2" t="n">
        <v>3</v>
      </c>
      <c r="G55" s="6" t="n">
        <v>103349.13</v>
      </c>
      <c r="H55" s="6" t="n">
        <v>1848532.53</v>
      </c>
      <c r="I55" s="2" t="inlineStr">
        <is>
          <t>Current</t>
        </is>
      </c>
      <c r="J55" s="2" t="inlineStr">
        <is>
          <t>Performing account</t>
        </is>
      </c>
    </row>
    <row r="56">
      <c r="A56" s="2" t="inlineStr">
        <is>
          <t>ABC-046</t>
        </is>
      </c>
      <c r="B56" s="2" t="inlineStr">
        <is>
          <t>Diana P.</t>
        </is>
      </c>
      <c r="C56" s="2" t="inlineStr">
        <is>
          <t>Professional Services</t>
        </is>
      </c>
      <c r="D56" s="4" t="n">
        <v>800000</v>
      </c>
      <c r="E56" s="5" t="n">
        <v>0.09</v>
      </c>
      <c r="F56" s="2" t="n">
        <v>1</v>
      </c>
      <c r="G56" s="6" t="n">
        <v>69961.17999999999</v>
      </c>
      <c r="H56" s="6" t="n">
        <v>716358.87</v>
      </c>
      <c r="I56" s="2" t="inlineStr">
        <is>
          <t>Current</t>
        </is>
      </c>
      <c r="J56" s="2" t="inlineStr">
        <is>
          <t>Performing account</t>
        </is>
      </c>
    </row>
    <row r="57">
      <c r="A57" s="2" t="inlineStr">
        <is>
          <t>ABC-047</t>
        </is>
      </c>
      <c r="B57" s="2" t="inlineStr">
        <is>
          <t>Eric M.</t>
        </is>
      </c>
      <c r="C57" s="2" t="inlineStr">
        <is>
          <t>Agriculture</t>
        </is>
      </c>
      <c r="D57" s="4" t="n">
        <v>2650000</v>
      </c>
      <c r="E57" s="5" t="n">
        <v>0.09</v>
      </c>
      <c r="F57" s="2" t="n">
        <v>1</v>
      </c>
      <c r="G57" s="6" t="n">
        <v>231746.41</v>
      </c>
      <c r="H57" s="6" t="n">
        <v>1924454.64</v>
      </c>
      <c r="I57" s="2" t="inlineStr">
        <is>
          <t>Current</t>
        </is>
      </c>
      <c r="J57" s="2" t="inlineStr">
        <is>
          <t>Performing account</t>
        </is>
      </c>
    </row>
    <row r="58">
      <c r="A58" s="2" t="inlineStr">
        <is>
          <t>ABC-048</t>
        </is>
      </c>
      <c r="B58" s="2" t="inlineStr">
        <is>
          <t>Grace N.</t>
        </is>
      </c>
      <c r="C58" s="2" t="inlineStr">
        <is>
          <t>Agriculture</t>
        </is>
      </c>
      <c r="D58" s="4" t="n">
        <v>3900000</v>
      </c>
      <c r="E58" s="5" t="n">
        <v>0.09</v>
      </c>
      <c r="F58" s="2" t="n">
        <v>4</v>
      </c>
      <c r="G58" s="6" t="n">
        <v>97051.67</v>
      </c>
      <c r="H58" s="6" t="n">
        <v>3212960.14</v>
      </c>
      <c r="I58" s="2" t="inlineStr">
        <is>
          <t>Current</t>
        </is>
      </c>
      <c r="J58" s="2" t="inlineStr">
        <is>
          <t>Performing account</t>
        </is>
      </c>
    </row>
    <row r="59">
      <c r="A59" s="2" t="inlineStr">
        <is>
          <t>ABC-049</t>
        </is>
      </c>
      <c r="B59" s="2" t="inlineStr">
        <is>
          <t>Claude S.</t>
        </is>
      </c>
      <c r="C59" s="2" t="inlineStr">
        <is>
          <t>Retail</t>
        </is>
      </c>
      <c r="D59" s="4" t="n">
        <v>2250000</v>
      </c>
      <c r="E59" s="5" t="n">
        <v>0.09</v>
      </c>
      <c r="F59" s="2" t="n">
        <v>4</v>
      </c>
      <c r="G59" s="6" t="n">
        <v>55991.35</v>
      </c>
      <c r="H59" s="6" t="n">
        <v>1631641.94</v>
      </c>
      <c r="I59" s="2" t="inlineStr">
        <is>
          <t>Current</t>
        </is>
      </c>
      <c r="J59" s="2" t="inlineStr">
        <is>
          <t>Performing account</t>
        </is>
      </c>
    </row>
    <row r="60">
      <c r="A60" s="2" t="inlineStr">
        <is>
          <t>ABC-050</t>
        </is>
      </c>
      <c r="B60" s="2" t="inlineStr">
        <is>
          <t>Estelle K.</t>
        </is>
      </c>
      <c r="C60" s="2" t="inlineStr">
        <is>
          <t>Professional Services</t>
        </is>
      </c>
      <c r="D60" s="4" t="n">
        <v>3300000</v>
      </c>
      <c r="E60" s="5" t="n">
        <v>0.09</v>
      </c>
      <c r="F60" s="2" t="n">
        <v>5</v>
      </c>
      <c r="G60" s="6" t="n">
        <v>68502.57000000001</v>
      </c>
      <c r="H60" s="6" t="n">
        <v>2844211.08</v>
      </c>
      <c r="I60" s="2" t="inlineStr">
        <is>
          <t>1–30 Days Late</t>
        </is>
      </c>
      <c r="J60" s="2" t="inlineStr">
        <is>
          <t>Early delinquency; monitor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7" t="inlineStr">
        <is>
          <t>PORTFOLIO SUMMARY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3" t="inlineStr">
        <is>
          <t>Total Principal</t>
        </is>
      </c>
      <c r="B64" s="2">
        <f>SUM(D11:D60)</f>
        <v/>
      </c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inlineStr">
        <is>
          <t>Average Loan</t>
        </is>
      </c>
      <c r="B65" s="2">
        <f>AVERAGE(D11:D60)</f>
        <v/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3" t="inlineStr">
        <is>
          <t>Maximum Loan</t>
        </is>
      </c>
      <c r="B66" s="2">
        <f>MAX(D11:D60)</f>
        <v/>
      </c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inlineStr">
        <is>
          <t>Total Outstanding</t>
        </is>
      </c>
      <c r="B67" s="2">
        <f>SUM(H11:H60)</f>
        <v/>
      </c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3" t="inlineStr">
        <is>
          <t>Current Accounts</t>
        </is>
      </c>
      <c r="B68" s="2">
        <f>COUNTIF(I11:I60,"Current")</f>
        <v/>
      </c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inlineStr">
        <is>
          <t>Accounts 1–30 Days Late</t>
        </is>
      </c>
      <c r="B69" s="2">
        <f>COUNTIF(I11:I60,"1–30 Days Late")</f>
        <v/>
      </c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3" t="inlineStr">
        <is>
          <t>Accounts 31–60 Days Late</t>
        </is>
      </c>
      <c r="B70" s="2">
        <f>COUNTIF(I11:I60,"31–60 Days Late")</f>
        <v/>
      </c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inlineStr">
        <is>
          <t>Accounts 61–90 Days Late</t>
        </is>
      </c>
      <c r="B71" s="2">
        <f>COUNTIF(I11:I60,"61–90 Days Late")</f>
        <v/>
      </c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3" t="inlineStr">
        <is>
          <t>Restructured Accounts</t>
        </is>
      </c>
      <c r="B72" s="2">
        <f>COUNTIF(I11:I60,"Restructured")</f>
        <v/>
      </c>
      <c r="C72" s="2" t="n"/>
      <c r="D72" s="2" t="n"/>
      <c r="E72" s="2" t="n"/>
      <c r="F72" s="2" t="n"/>
      <c r="G72" s="2" t="n"/>
      <c r="H72" s="2" t="n"/>
      <c r="I72" s="2" t="n"/>
      <c r="J72" s="2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ABC COMPANY — BUSINESS PLAN SNAPSHOT</t>
        </is>
      </c>
      <c r="B1" s="2" t="n"/>
      <c r="C1" s="2" t="n"/>
      <c r="D1" s="2" t="n"/>
    </row>
    <row r="2">
      <c r="A2" s="3" t="inlineStr">
        <is>
          <t>Target annual revenue</t>
        </is>
      </c>
      <c r="B2" s="2" t="n">
        <v>500000000</v>
      </c>
      <c r="C2" s="2" t="n"/>
      <c r="D2" s="3" t="inlineStr">
        <is>
          <t>Management Notes</t>
        </is>
      </c>
    </row>
    <row r="3">
      <c r="A3" s="3" t="inlineStr">
        <is>
          <t>Current projected annual revenue</t>
        </is>
      </c>
      <c r="B3" s="2" t="n">
        <v>410000000</v>
      </c>
      <c r="C3" s="2" t="n"/>
      <c r="D3" s="2" t="inlineStr">
        <is>
          <t>ABC Company plans to reach RWF 500M in annual revenue.</t>
        </is>
      </c>
    </row>
    <row r="4">
      <c r="A4" s="3" t="inlineStr">
        <is>
          <t>Revenue gap</t>
        </is>
      </c>
      <c r="B4" s="2">
        <f>B2-B3</f>
        <v/>
      </c>
      <c r="C4" s="2" t="n"/>
      <c r="D4" s="2" t="inlineStr">
        <is>
          <t>The portfolio contains 50 client accounts.</t>
        </is>
      </c>
    </row>
    <row r="5">
      <c r="A5" s="3" t="inlineStr">
        <is>
          <t>Loan portfolio principal</t>
        </is>
      </c>
      <c r="B5" s="2">
        <f>'Loan Portfolio'!B64</f>
        <v/>
      </c>
      <c r="C5" s="2" t="n"/>
      <c r="D5" s="2" t="inlineStr">
        <is>
          <t>All loans use 9% annual interest.</t>
        </is>
      </c>
    </row>
    <row r="6">
      <c r="A6" s="3" t="inlineStr">
        <is>
          <t>Portfolio / 500M target</t>
        </is>
      </c>
      <c r="B6" s="2">
        <f>B5/B2</f>
        <v/>
      </c>
      <c r="C6" s="2" t="n"/>
      <c r="D6" s="2" t="inlineStr">
        <is>
          <t>No individual loan exceeds RWF 5M.</t>
        </is>
      </c>
    </row>
    <row r="7">
      <c r="A7" s="3" t="inlineStr">
        <is>
          <t>Annual interest rate</t>
        </is>
      </c>
      <c r="B7" s="2" t="n">
        <v>0.09</v>
      </c>
      <c r="C7" s="2" t="n"/>
      <c r="D7" s="2" t="inlineStr">
        <is>
          <t>No loan term exceeds 5 years.</t>
        </is>
      </c>
    </row>
    <row r="8">
      <c r="A8" s="3" t="inlineStr">
        <is>
          <t>Number of borrowers</t>
        </is>
      </c>
      <c r="B8" s="2" t="n">
        <v>50</v>
      </c>
      <c r="C8" s="2" t="n"/>
      <c r="D8" s="2" t="inlineStr">
        <is>
          <t>A small number of delinquent/restructured accounts are included intentionally for risk testing.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RISK-RELEVANT PORTFOLIO INDICATORS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Why It Matters</t>
        </is>
      </c>
    </row>
    <row r="4">
      <c r="A4" s="2" t="inlineStr">
        <is>
          <t>Portfolio size</t>
        </is>
      </c>
      <c r="B4" s="2">
        <f>'Loan Portfolio'!B64</f>
        <v/>
      </c>
      <c r="C4" s="2" t="inlineStr">
        <is>
          <t>Total credit exposure.</t>
        </is>
      </c>
    </row>
    <row r="5">
      <c r="A5" s="2" t="inlineStr">
        <is>
          <t>Average loan</t>
        </is>
      </c>
      <c r="B5" s="2">
        <f>'Loan Portfolio'!B65</f>
        <v/>
      </c>
      <c r="C5" s="2" t="inlineStr">
        <is>
          <t>Typical borrower exposure.</t>
        </is>
      </c>
    </row>
    <row r="6">
      <c r="A6" s="2" t="inlineStr">
        <is>
          <t>Maximum individual loan</t>
        </is>
      </c>
      <c r="B6" s="2">
        <f>'Loan Portfolio'!B66</f>
        <v/>
      </c>
      <c r="C6" s="2" t="inlineStr">
        <is>
          <t>Tests the RWF 5M limit.</t>
        </is>
      </c>
    </row>
    <row r="7">
      <c r="A7" s="2" t="inlineStr">
        <is>
          <t>Outstanding balance</t>
        </is>
      </c>
      <c r="B7" s="2">
        <f>'Loan Portfolio'!B67</f>
        <v/>
      </c>
      <c r="C7" s="2" t="inlineStr">
        <is>
          <t>Remaining portfolio exposure.</t>
        </is>
      </c>
    </row>
    <row r="8">
      <c r="A8" s="2" t="inlineStr">
        <is>
          <t>Current accounts</t>
        </is>
      </c>
      <c r="B8" s="2">
        <f>'Loan Portfolio'!B68</f>
        <v/>
      </c>
      <c r="C8" s="2" t="inlineStr">
        <is>
          <t>Performing accounts.</t>
        </is>
      </c>
    </row>
    <row r="9">
      <c r="A9" s="2" t="inlineStr">
        <is>
          <t>1–30 days late</t>
        </is>
      </c>
      <c r="B9" s="2">
        <f>'Loan Portfolio'!B69</f>
        <v/>
      </c>
      <c r="C9" s="2" t="inlineStr">
        <is>
          <t>Early delinquency signal.</t>
        </is>
      </c>
    </row>
    <row r="10">
      <c r="A10" s="2" t="inlineStr">
        <is>
          <t>31–60 days late</t>
        </is>
      </c>
      <c r="B10" s="2">
        <f>'Loan Portfolio'!B70</f>
        <v/>
      </c>
      <c r="C10" s="2" t="inlineStr">
        <is>
          <t>Moderate delinquency signal.</t>
        </is>
      </c>
    </row>
    <row r="11">
      <c r="A11" s="2" t="inlineStr">
        <is>
          <t>61–90 days late</t>
        </is>
      </c>
      <c r="B11" s="2">
        <f>'Loan Portfolio'!B71</f>
        <v/>
      </c>
      <c r="C11" s="2" t="inlineStr">
        <is>
          <t>High delinquency signal.</t>
        </is>
      </c>
    </row>
    <row r="12">
      <c r="A12" s="2" t="inlineStr">
        <is>
          <t>Restructured accounts</t>
        </is>
      </c>
      <c r="B12" s="2">
        <f>'Loan Portfolio'!B72</f>
        <v/>
      </c>
      <c r="C12" s="2" t="inlineStr">
        <is>
          <t>Special monitoring signal.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2026-08-23T15:53:09Z</dcterms:created>
  <dcterms:modified xmlns:dcterms="http://purl.org/dc/terms/" xmlns:xsi="http://www.w3.org/2001/XMLSchema-instance" xsi:type="dcterms:W3CDTF">2026-08-23T15:53:09Z</dcterms:modified>
</cp:coreProperties>
</file>